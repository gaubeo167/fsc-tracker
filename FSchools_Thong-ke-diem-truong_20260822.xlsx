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etnb/Desktop/Đề án giáo viên số/"/>
    </mc:Choice>
  </mc:AlternateContent>
  <xr:revisionPtr revIDLastSave="0" documentId="13_ncr:1_{86AB451E-807E-BA4A-A105-6D48474602DD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Danh sách điểm trường" sheetId="1" r:id="rId1"/>
    <sheet name="Nguồn - Bảng mã theo QĐ" sheetId="2" r:id="rId2"/>
  </sheets>
  <definedNames>
    <definedName name="_xlnm._FilterDatabase" localSheetId="0" hidden="1">'Danh sách điểm trường'!$A$4:$J$22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1" l="1"/>
  <c r="C29" i="1"/>
  <c r="C28" i="1"/>
  <c r="C27" i="1"/>
  <c r="C26" i="1"/>
  <c r="C25" i="1"/>
</calcChain>
</file>

<file path=xl/sharedStrings.xml><?xml version="1.0" encoding="utf-8"?>
<sst xmlns="http://schemas.openxmlformats.org/spreadsheetml/2006/main" count="194" uniqueCount="128">
  <si>
    <t>THỐNG KÊ ĐIỂM TRƯỜNG HỆ THỐNG PHỔ THÔNG FPT (FSchools)</t>
  </si>
  <si>
    <t>Nguồn mã trường: 3 Quyết định của Công ty TNHH Giáo dục FPT (QĐ 83/2023, QĐ 127/2025, QĐ 405/2026). Địa chỉ &amp; vùng miền: website chính thức fschool.fpt.edu.vn/lien-he (truy cập 22/8/2026).</t>
  </si>
  <si>
    <t>STT</t>
  </si>
  <si>
    <t>Mã trường</t>
  </si>
  <si>
    <t>Tên theo Quyết định</t>
  </si>
  <si>
    <t>Tên trường (website chính thức)</t>
  </si>
  <si>
    <t>Cấp học</t>
  </si>
  <si>
    <t>Địa chỉ</t>
  </si>
  <si>
    <t>Tỉnh/TP (sau sáp nhập 2025)</t>
  </si>
  <si>
    <t>Vùng miền</t>
  </si>
  <si>
    <t>Nguồn mã (Quyết định)</t>
  </si>
  <si>
    <t>Ghi chú</t>
  </si>
  <si>
    <t>FHL</t>
  </si>
  <si>
    <t>Fschool Hòa Lạc</t>
  </si>
  <si>
    <t>Trường THPT FPT Hà Nội (Hòa Lạc)</t>
  </si>
  <si>
    <t>THPT</t>
  </si>
  <si>
    <t>Khuôn viên Trường Đại học FPT, Khu CNC Hòa Lạc, Km29 Đại lộ Thăng Long, Xã Hòa Lạc</t>
  </si>
  <si>
    <t>Hà Nội</t>
  </si>
  <si>
    <t>Miền Bắc</t>
  </si>
  <si>
    <t>QĐ 83/QĐ-CTGDFPT (01/6/2023)</t>
  </si>
  <si>
    <t>Trụ sở chính FPT Schools</t>
  </si>
  <si>
    <t>FCG</t>
  </si>
  <si>
    <t>Fschool Cầu Giấy</t>
  </si>
  <si>
    <t>Trường Tiểu học và THCS FPT Cầu Giấy</t>
  </si>
  <si>
    <t>TH, THCS</t>
  </si>
  <si>
    <t>Số 15 Đông Quan, Phường Nghĩa Đô</t>
  </si>
  <si>
    <t>FHP</t>
  </si>
  <si>
    <t>Fschool Hải Phòng</t>
  </si>
  <si>
    <t>Trường THCS và THPT FPT Hải Phòng</t>
  </si>
  <si>
    <t>THCS, THPT</t>
  </si>
  <si>
    <t>Khu tái định cư Đằng Lâm 1, Phường Hải An</t>
  </si>
  <si>
    <t>Hải Phòng</t>
  </si>
  <si>
    <t>FBN</t>
  </si>
  <si>
    <t>Fschool Bắc Ninh</t>
  </si>
  <si>
    <t>Trường Tiểu học, THCS và THPT FPT Bắc Ninh</t>
  </si>
  <si>
    <t>TH, THCS, THPT</t>
  </si>
  <si>
    <t>Lô CC1, Đường Nguyễn Thị Minh Khai, Phường Kinh Bắc</t>
  </si>
  <si>
    <t>Bắc Ninh</t>
  </si>
  <si>
    <t>FHN</t>
  </si>
  <si>
    <t>Fschool Hà Nam</t>
  </si>
  <si>
    <t>Trường Tiểu học, THCS và THPT FPT Hà Nam</t>
  </si>
  <si>
    <t>Khu Đại học Nam Cao, Phường Hà Nam</t>
  </si>
  <si>
    <t>Ninh Bình</t>
  </si>
  <si>
    <t>Hà Nam sáp nhập vào Ninh Bình (2025)</t>
  </si>
  <si>
    <t>FBG</t>
  </si>
  <si>
    <t>Fschool Bắc Giang</t>
  </si>
  <si>
    <t>Trường Tiểu học, THCS và THPT FPT Bắc Giang</t>
  </si>
  <si>
    <t>Đường Nguyễn Văn Linh, Khu đô thị phía Nam, Phường Bắc Giang</t>
  </si>
  <si>
    <t>Bắc Giang sáp nhập vào Bắc Ninh (2025)</t>
  </si>
  <si>
    <t>FHH</t>
  </si>
  <si>
    <t>Fschool ĐN 1-2</t>
  </si>
  <si>
    <t>Trường Tiểu học và THCS FPT Đà Nẵng</t>
  </si>
  <si>
    <t>Tòa nhà Epsilon, Khu đất A3-1, Khu đô thị FPT, Phường Ngũ Hành Sơn</t>
  </si>
  <si>
    <t>Đà Nẵng</t>
  </si>
  <si>
    <t>Miền Trung</t>
  </si>
  <si>
    <t>Dùng chung mã FHH với ĐN 3</t>
  </si>
  <si>
    <t>Fschool ĐN 3</t>
  </si>
  <si>
    <t>Trường THPT FPT Đà Nẵng</t>
  </si>
  <si>
    <t>Khu đô thị FPT, Phường Ngũ Hành Sơn</t>
  </si>
  <si>
    <t>Dùng chung mã FHH với ĐN 1-2</t>
  </si>
  <si>
    <t>FVI</t>
  </si>
  <si>
    <t>Trường Tiểu học, THCS và THPT FPT Vinh</t>
  </si>
  <si>
    <t>Phân khu The Garden, Khu đô thị Eco Central Park, Phường Trường Vinh</t>
  </si>
  <si>
    <t>Nghệ An</t>
  </si>
  <si>
    <t>QĐ 405/QĐ-CTGDFPT (06/5/2026)</t>
  </si>
  <si>
    <t>FHU</t>
  </si>
  <si>
    <t>Trường Tiểu học, THCS và THPT FPT Huế</t>
  </si>
  <si>
    <t>Lô TH 12, Khu đô thị mới An Vân Dương, Phường Thanh Thủy</t>
  </si>
  <si>
    <t>Huế</t>
  </si>
  <si>
    <t>QĐ 127/QĐ-CTGDFPT (25/4/2025)</t>
  </si>
  <si>
    <t>FLV</t>
  </si>
  <si>
    <t>Trường Tiểu học, THCS và THPT FPT Long Vân</t>
  </si>
  <si>
    <t>Trung tâm Trí tuệ nhân tạo – Đô thị Phụ trợ, Phường Quy Nhơn Tây</t>
  </si>
  <si>
    <t>Gia Lai</t>
  </si>
  <si>
    <t>Miền Nam</t>
  </si>
  <si>
    <t>Bình Định sáp nhập vào Gia Lai (2025). Website xếp Miền Nam</t>
  </si>
  <si>
    <t>FQN</t>
  </si>
  <si>
    <t>Fschool Quy Nhơn</t>
  </si>
  <si>
    <t>Trường THPT FPT Quy Nhơn (Quy Nhơn 3)</t>
  </si>
  <si>
    <t>Khu đô thị An Phú Thịnh, Phường Quy Nhơn Đông</t>
  </si>
  <si>
    <t>FCT</t>
  </si>
  <si>
    <t>Fschool Cần Thơ</t>
  </si>
  <si>
    <t>Trường THPT FPT Cần Thơ</t>
  </si>
  <si>
    <t>Số 600 Nguyễn Văn Cừ, Phường An Bình</t>
  </si>
  <si>
    <t>Cần Thơ</t>
  </si>
  <si>
    <t>FHG</t>
  </si>
  <si>
    <t>Trường Tiểu học, THCS và THPT FPT Hậu Giang</t>
  </si>
  <si>
    <t>QL61A, ấp 7A, Xã Vị Thủy</t>
  </si>
  <si>
    <t>Hậu Giang sáp nhập vào Cần Thơ (2025)</t>
  </si>
  <si>
    <t>FST</t>
  </si>
  <si>
    <t>Trường Tiểu học, THCS và THPT FPT Sóc Trăng</t>
  </si>
  <si>
    <t>Đường số 6, KĐT 5A, Phường Phú Lợi</t>
  </si>
  <si>
    <t>Sóc Trăng sáp nhập vào Cần Thơ (2025)</t>
  </si>
  <si>
    <t>FLA</t>
  </si>
  <si>
    <t>Trường Tiểu học, THCS và THPT FPT Long An</t>
  </si>
  <si>
    <t>Trường TH, THCS và THPT FPT Long An (Millennia Nam Sài Gòn)</t>
  </si>
  <si>
    <t>Đường Thái Sơn 1, Khu đô thị T&amp;T City Millennia, Phường Long Hậu</t>
  </si>
  <si>
    <t>Tây Ninh</t>
  </si>
  <si>
    <t>Long An sáp nhập vào Tây Ninh (2025). Cơ sở thứ 18</t>
  </si>
  <si>
    <t>Trường THPT FPT Tây Hà Nội</t>
  </si>
  <si>
    <t>Tổ dân phố 12, Phố Kiều Mai, Phường Xuân Phương</t>
  </si>
  <si>
    <t>Không có trong 3 QĐ</t>
  </si>
  <si>
    <t>CẦN RÀ SOÁT: chưa thấy mã cơ sở trong 3 QĐ</t>
  </si>
  <si>
    <t>Trường Tiểu học, THCS và THPT FPT Thanh Hóa</t>
  </si>
  <si>
    <t>Đường Trịnh Kiểm, Phường Hạc Thành</t>
  </si>
  <si>
    <t>Thanh Hóa</t>
  </si>
  <si>
    <t>TỔNG HỢP</t>
  </si>
  <si>
    <t>Tổng số điểm trường (website chính thức)</t>
  </si>
  <si>
    <t>Số điểm trường đã có mã trong 3 QĐ</t>
  </si>
  <si>
    <t>Số điểm trường CHƯA có mã</t>
  </si>
  <si>
    <t>GHI CHÚ / GIẢ ĐỊNH:</t>
  </si>
  <si>
    <t>1. Mã FHH được cấp chung cho cả Fschool ĐN 1-2 và Fschool ĐN 3 theo Phụ lục QĐ 83 — đây là đặc thù cần lưu ý khi thiết kế khóa định danh học sinh.</t>
  </si>
  <si>
    <t>2. Cấu trúc mã học sinh: FAAXYYYY (FAA = mã cơ sở, X = cấp học 1/2/3, YYYY = số thứ tự) — theo QĐ 83/QĐ-CTGDFPT.</t>
  </si>
  <si>
    <t>3. Hai cơ sở tô vàng (Tây Hà Nội, Thanh Hóa) đang hoạt động theo website nhưng KHÔNG xuất hiện trong 3 QĐ được cung cấp — cần rà soát QĐ bổ sung khác.</t>
  </si>
  <si>
    <t>4. Cột Tỉnh/TP phản ánh đơn vị hành chính SAU sáp nhập tỉnh 2025 theo địa chỉ công bố trên website.</t>
  </si>
  <si>
    <t>5. Phân vùng miền lấy theo cách FSchools tự phân nhóm trên website (Long Vân &amp; Quy Nhơn được xếp Miền Nam dù địa lý thuộc Nam Trung Bộ).</t>
  </si>
  <si>
    <t>6. Địa chỉ là dữ liệu tham chiếu từ website công khai — cần campus xác nhận trước khi dùng cho văn bản pháp lý.</t>
  </si>
  <si>
    <t>Quyết định</t>
  </si>
  <si>
    <t>Nội dung</t>
  </si>
  <si>
    <t>Mã cơ sở ban hành</t>
  </si>
  <si>
    <t>Ban hành Quy cách đặt mã học sinh + Bảng mã cơ sở đào tạo FSchools</t>
  </si>
  <si>
    <t>10 dòng / 9 mã: FHL, FCG, FHH (ĐN1-2), FHH (ĐN3), FCT, FQN, FHP, FBN, FHN, FBG</t>
  </si>
  <si>
    <t>Ban hành bổ sung Bảng mã cơ sở đào tạo</t>
  </si>
  <si>
    <t>4 mã: FLV (Long Vân), FHU (Huế), FHG (Hậu Giang), FST (Sóc Trăng)</t>
  </si>
  <si>
    <t>Ban hành bổ sung Bảng mã cơ sở đào tạo năm 2026</t>
  </si>
  <si>
    <t>2 mã: FVI (Vinh), FLA (Long An)</t>
  </si>
  <si>
    <t>FBT</t>
  </si>
  <si>
    <t>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</si>
</sst>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C00000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0" fillId="0" borderId="0" xfId="0" applyFont="1"/>
    <xf numFmtId="0" fontId="8" fillId="5" borderId="1" xfId="0" applyFont="1" applyFill="1" applyBorder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7" fillId="0" borderId="0" xfId="0" applyFont="1"/>
    <xf numFmtId="0" fontId="9" fillId="5" borderId="1" xfId="0" applyFont="1" applyFill="1" applyBorder="1" applyAlignment="1">
      <alignment horizontal="left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zoomScaleNormal="100" workbookViewId="0">
      <pane ySplit="4" topLeftCell="A5" activePane="bottomLeft" state="frozen"/>
      <selection pane="bottomLeft" activeCell="C24" sqref="C24"/>
    </sheetView>
  </sheetViews>
  <sheetFormatPr baseColWidth="10" defaultColWidth="8.6640625" defaultRowHeight="15" x14ac:dyDescent="0.2"/>
  <cols>
    <col min="1" max="1" width="5" customWidth="1"/>
    <col min="2" max="2" width="29.33203125" customWidth="1"/>
    <col min="3" max="3" width="34" customWidth="1"/>
    <col min="4" max="4" width="38" customWidth="1"/>
    <col min="5" max="5" width="15" customWidth="1"/>
    <col min="6" max="6" width="46" customWidth="1"/>
    <col min="7" max="7" width="22" customWidth="1"/>
    <col min="8" max="8" width="12" customWidth="1"/>
    <col min="9" max="9" width="26" customWidth="1"/>
    <col min="10" max="10" width="34" customWidth="1"/>
  </cols>
  <sheetData>
    <row r="1" spans="1:10" ht="24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.7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spans="1:10" ht="33.7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30" customHeight="1" x14ac:dyDescent="0.2">
      <c r="A5" s="6">
        <v>1</v>
      </c>
      <c r="B5" s="7" t="s">
        <v>12</v>
      </c>
      <c r="C5" s="8" t="s">
        <v>13</v>
      </c>
      <c r="D5" s="8" t="s">
        <v>14</v>
      </c>
      <c r="E5" s="6" t="s">
        <v>15</v>
      </c>
      <c r="F5" s="8" t="s">
        <v>16</v>
      </c>
      <c r="G5" s="9" t="s">
        <v>17</v>
      </c>
      <c r="H5" s="6" t="s">
        <v>18</v>
      </c>
      <c r="I5" s="9" t="s">
        <v>19</v>
      </c>
      <c r="J5" s="8" t="s">
        <v>20</v>
      </c>
    </row>
    <row r="6" spans="1:10" ht="30" customHeight="1" x14ac:dyDescent="0.2">
      <c r="A6" s="10">
        <v>2</v>
      </c>
      <c r="B6" s="11" t="s">
        <v>21</v>
      </c>
      <c r="C6" s="12" t="s">
        <v>22</v>
      </c>
      <c r="D6" s="12" t="s">
        <v>23</v>
      </c>
      <c r="E6" s="10" t="s">
        <v>24</v>
      </c>
      <c r="F6" s="12" t="s">
        <v>25</v>
      </c>
      <c r="G6" s="13" t="s">
        <v>17</v>
      </c>
      <c r="H6" s="10" t="s">
        <v>18</v>
      </c>
      <c r="I6" s="13" t="s">
        <v>19</v>
      </c>
      <c r="J6" s="12"/>
    </row>
    <row r="7" spans="1:10" ht="30" customHeight="1" x14ac:dyDescent="0.2">
      <c r="A7" s="6">
        <v>3</v>
      </c>
      <c r="B7" s="7" t="s">
        <v>26</v>
      </c>
      <c r="C7" s="8" t="s">
        <v>27</v>
      </c>
      <c r="D7" s="8" t="s">
        <v>28</v>
      </c>
      <c r="E7" s="6" t="s">
        <v>29</v>
      </c>
      <c r="F7" s="8" t="s">
        <v>30</v>
      </c>
      <c r="G7" s="9" t="s">
        <v>31</v>
      </c>
      <c r="H7" s="6" t="s">
        <v>18</v>
      </c>
      <c r="I7" s="9" t="s">
        <v>19</v>
      </c>
      <c r="J7" s="8"/>
    </row>
    <row r="8" spans="1:10" ht="30" customHeight="1" x14ac:dyDescent="0.2">
      <c r="A8" s="10">
        <v>4</v>
      </c>
      <c r="B8" s="11" t="s">
        <v>32</v>
      </c>
      <c r="C8" s="12" t="s">
        <v>33</v>
      </c>
      <c r="D8" s="12" t="s">
        <v>34</v>
      </c>
      <c r="E8" s="10" t="s">
        <v>35</v>
      </c>
      <c r="F8" s="12" t="s">
        <v>36</v>
      </c>
      <c r="G8" s="13" t="s">
        <v>37</v>
      </c>
      <c r="H8" s="10" t="s">
        <v>18</v>
      </c>
      <c r="I8" s="13" t="s">
        <v>19</v>
      </c>
      <c r="J8" s="12"/>
    </row>
    <row r="9" spans="1:10" ht="30" customHeight="1" x14ac:dyDescent="0.2">
      <c r="A9" s="6">
        <v>5</v>
      </c>
      <c r="B9" s="7" t="s">
        <v>38</v>
      </c>
      <c r="C9" s="8" t="s">
        <v>39</v>
      </c>
      <c r="D9" s="8" t="s">
        <v>40</v>
      </c>
      <c r="E9" s="6" t="s">
        <v>35</v>
      </c>
      <c r="F9" s="8" t="s">
        <v>41</v>
      </c>
      <c r="G9" s="9" t="s">
        <v>42</v>
      </c>
      <c r="H9" s="6" t="s">
        <v>18</v>
      </c>
      <c r="I9" s="9" t="s">
        <v>19</v>
      </c>
      <c r="J9" s="8" t="s">
        <v>43</v>
      </c>
    </row>
    <row r="10" spans="1:10" ht="30" customHeight="1" x14ac:dyDescent="0.2">
      <c r="A10" s="10">
        <v>6</v>
      </c>
      <c r="B10" s="11" t="s">
        <v>44</v>
      </c>
      <c r="C10" s="12" t="s">
        <v>45</v>
      </c>
      <c r="D10" s="12" t="s">
        <v>46</v>
      </c>
      <c r="E10" s="10" t="s">
        <v>35</v>
      </c>
      <c r="F10" s="12" t="s">
        <v>47</v>
      </c>
      <c r="G10" s="13" t="s">
        <v>37</v>
      </c>
      <c r="H10" s="10" t="s">
        <v>18</v>
      </c>
      <c r="I10" s="13" t="s">
        <v>19</v>
      </c>
      <c r="J10" s="12" t="s">
        <v>48</v>
      </c>
    </row>
    <row r="11" spans="1:10" ht="30" customHeight="1" x14ac:dyDescent="0.2">
      <c r="A11" s="6">
        <v>7</v>
      </c>
      <c r="B11" s="7" t="s">
        <v>49</v>
      </c>
      <c r="C11" s="8" t="s">
        <v>50</v>
      </c>
      <c r="D11" s="8" t="s">
        <v>51</v>
      </c>
      <c r="E11" s="6" t="s">
        <v>24</v>
      </c>
      <c r="F11" s="8" t="s">
        <v>52</v>
      </c>
      <c r="G11" s="9" t="s">
        <v>53</v>
      </c>
      <c r="H11" s="6" t="s">
        <v>54</v>
      </c>
      <c r="I11" s="9" t="s">
        <v>19</v>
      </c>
      <c r="J11" s="8" t="s">
        <v>55</v>
      </c>
    </row>
    <row r="12" spans="1:10" ht="30" customHeight="1" x14ac:dyDescent="0.2">
      <c r="A12" s="10">
        <v>8</v>
      </c>
      <c r="B12" s="11" t="s">
        <v>49</v>
      </c>
      <c r="C12" s="12" t="s">
        <v>56</v>
      </c>
      <c r="D12" s="12" t="s">
        <v>57</v>
      </c>
      <c r="E12" s="10" t="s">
        <v>15</v>
      </c>
      <c r="F12" s="12" t="s">
        <v>58</v>
      </c>
      <c r="G12" s="13" t="s">
        <v>53</v>
      </c>
      <c r="H12" s="10" t="s">
        <v>54</v>
      </c>
      <c r="I12" s="13" t="s">
        <v>19</v>
      </c>
      <c r="J12" s="12" t="s">
        <v>59</v>
      </c>
    </row>
    <row r="13" spans="1:10" ht="30" customHeight="1" x14ac:dyDescent="0.2">
      <c r="A13" s="6">
        <v>9</v>
      </c>
      <c r="B13" s="7" t="s">
        <v>60</v>
      </c>
      <c r="C13" s="8" t="s">
        <v>61</v>
      </c>
      <c r="D13" s="8" t="s">
        <v>61</v>
      </c>
      <c r="E13" s="6" t="s">
        <v>35</v>
      </c>
      <c r="F13" s="8" t="s">
        <v>62</v>
      </c>
      <c r="G13" s="9" t="s">
        <v>63</v>
      </c>
      <c r="H13" s="6" t="s">
        <v>54</v>
      </c>
      <c r="I13" s="9" t="s">
        <v>64</v>
      </c>
      <c r="J13" s="8"/>
    </row>
    <row r="14" spans="1:10" ht="30" customHeight="1" x14ac:dyDescent="0.2">
      <c r="A14" s="10">
        <v>10</v>
      </c>
      <c r="B14" s="11" t="s">
        <v>65</v>
      </c>
      <c r="C14" s="12" t="s">
        <v>66</v>
      </c>
      <c r="D14" s="12" t="s">
        <v>66</v>
      </c>
      <c r="E14" s="10" t="s">
        <v>35</v>
      </c>
      <c r="F14" s="12" t="s">
        <v>67</v>
      </c>
      <c r="G14" s="13" t="s">
        <v>68</v>
      </c>
      <c r="H14" s="10" t="s">
        <v>54</v>
      </c>
      <c r="I14" s="13" t="s">
        <v>69</v>
      </c>
      <c r="J14" s="12"/>
    </row>
    <row r="15" spans="1:10" ht="30" customHeight="1" x14ac:dyDescent="0.2">
      <c r="A15" s="6">
        <v>11</v>
      </c>
      <c r="B15" s="7" t="s">
        <v>70</v>
      </c>
      <c r="C15" s="8" t="s">
        <v>71</v>
      </c>
      <c r="D15" s="8" t="s">
        <v>71</v>
      </c>
      <c r="E15" s="6" t="s">
        <v>35</v>
      </c>
      <c r="F15" s="8" t="s">
        <v>72</v>
      </c>
      <c r="G15" s="9" t="s">
        <v>73</v>
      </c>
      <c r="H15" s="6" t="s">
        <v>74</v>
      </c>
      <c r="I15" s="9" t="s">
        <v>69</v>
      </c>
      <c r="J15" s="8" t="s">
        <v>75</v>
      </c>
    </row>
    <row r="16" spans="1:10" ht="30" customHeight="1" x14ac:dyDescent="0.2">
      <c r="A16" s="10">
        <v>12</v>
      </c>
      <c r="B16" s="11" t="s">
        <v>76</v>
      </c>
      <c r="C16" s="12" t="s">
        <v>77</v>
      </c>
      <c r="D16" s="12" t="s">
        <v>78</v>
      </c>
      <c r="E16" s="10" t="s">
        <v>15</v>
      </c>
      <c r="F16" s="12" t="s">
        <v>79</v>
      </c>
      <c r="G16" s="13" t="s">
        <v>73</v>
      </c>
      <c r="H16" s="10" t="s">
        <v>74</v>
      </c>
      <c r="I16" s="13" t="s">
        <v>19</v>
      </c>
      <c r="J16" s="12" t="s">
        <v>75</v>
      </c>
    </row>
    <row r="17" spans="1:10" ht="30" customHeight="1" x14ac:dyDescent="0.2">
      <c r="A17" s="6">
        <v>13</v>
      </c>
      <c r="B17" s="7" t="s">
        <v>80</v>
      </c>
      <c r="C17" s="8" t="s">
        <v>81</v>
      </c>
      <c r="D17" s="8" t="s">
        <v>82</v>
      </c>
      <c r="E17" s="6" t="s">
        <v>15</v>
      </c>
      <c r="F17" s="8" t="s">
        <v>83</v>
      </c>
      <c r="G17" s="9" t="s">
        <v>84</v>
      </c>
      <c r="H17" s="6" t="s">
        <v>74</v>
      </c>
      <c r="I17" s="9" t="s">
        <v>19</v>
      </c>
      <c r="J17" s="8"/>
    </row>
    <row r="18" spans="1:10" ht="30" customHeight="1" x14ac:dyDescent="0.2">
      <c r="A18" s="10">
        <v>14</v>
      </c>
      <c r="B18" s="11" t="s">
        <v>85</v>
      </c>
      <c r="C18" s="12" t="s">
        <v>86</v>
      </c>
      <c r="D18" s="12" t="s">
        <v>86</v>
      </c>
      <c r="E18" s="10" t="s">
        <v>35</v>
      </c>
      <c r="F18" s="12" t="s">
        <v>87</v>
      </c>
      <c r="G18" s="13" t="s">
        <v>84</v>
      </c>
      <c r="H18" s="10" t="s">
        <v>74</v>
      </c>
      <c r="I18" s="13" t="s">
        <v>69</v>
      </c>
      <c r="J18" s="12" t="s">
        <v>88</v>
      </c>
    </row>
    <row r="19" spans="1:10" ht="30" customHeight="1" x14ac:dyDescent="0.2">
      <c r="A19" s="6">
        <v>15</v>
      </c>
      <c r="B19" s="7" t="s">
        <v>89</v>
      </c>
      <c r="C19" s="8" t="s">
        <v>90</v>
      </c>
      <c r="D19" s="8" t="s">
        <v>90</v>
      </c>
      <c r="E19" s="6" t="s">
        <v>35</v>
      </c>
      <c r="F19" s="8" t="s">
        <v>91</v>
      </c>
      <c r="G19" s="9" t="s">
        <v>84</v>
      </c>
      <c r="H19" s="6" t="s">
        <v>74</v>
      </c>
      <c r="I19" s="9" t="s">
        <v>69</v>
      </c>
      <c r="J19" s="8" t="s">
        <v>92</v>
      </c>
    </row>
    <row r="20" spans="1:10" ht="30" customHeight="1" x14ac:dyDescent="0.2">
      <c r="A20" s="10">
        <v>16</v>
      </c>
      <c r="B20" s="11" t="s">
        <v>93</v>
      </c>
      <c r="C20" s="12" t="s">
        <v>94</v>
      </c>
      <c r="D20" s="12" t="s">
        <v>95</v>
      </c>
      <c r="E20" s="10" t="s">
        <v>35</v>
      </c>
      <c r="F20" s="12" t="s">
        <v>96</v>
      </c>
      <c r="G20" s="13" t="s">
        <v>97</v>
      </c>
      <c r="H20" s="10" t="s">
        <v>74</v>
      </c>
      <c r="I20" s="13" t="s">
        <v>64</v>
      </c>
      <c r="J20" s="12" t="s">
        <v>98</v>
      </c>
    </row>
    <row r="21" spans="1:10" ht="30" customHeight="1" x14ac:dyDescent="0.2">
      <c r="A21" s="14">
        <v>17</v>
      </c>
      <c r="B21" s="14" t="s">
        <v>126</v>
      </c>
      <c r="C21" s="15" t="s">
        <v>99</v>
      </c>
      <c r="D21" s="15" t="s">
        <v>99</v>
      </c>
      <c r="E21" s="14" t="s">
        <v>15</v>
      </c>
      <c r="F21" s="15" t="s">
        <v>100</v>
      </c>
      <c r="G21" s="16" t="s">
        <v>17</v>
      </c>
      <c r="H21" s="14" t="s">
        <v>18</v>
      </c>
      <c r="I21" s="16" t="s">
        <v>101</v>
      </c>
      <c r="J21" s="15" t="s">
        <v>102</v>
      </c>
    </row>
    <row r="22" spans="1:10" ht="30" customHeight="1" x14ac:dyDescent="0.2">
      <c r="A22" s="14">
        <v>18</v>
      </c>
      <c r="B22" s="14" t="s">
        <v>127</v>
      </c>
      <c r="C22" s="15" t="s">
        <v>103</v>
      </c>
      <c r="D22" s="15" t="s">
        <v>103</v>
      </c>
      <c r="E22" s="14" t="s">
        <v>35</v>
      </c>
      <c r="F22" s="15" t="s">
        <v>104</v>
      </c>
      <c r="G22" s="16" t="s">
        <v>105</v>
      </c>
      <c r="H22" s="14" t="s">
        <v>54</v>
      </c>
      <c r="I22" s="16" t="s">
        <v>101</v>
      </c>
      <c r="J22" s="15" t="s">
        <v>102</v>
      </c>
    </row>
    <row r="24" spans="1:10" x14ac:dyDescent="0.2">
      <c r="A24" s="17" t="s">
        <v>106</v>
      </c>
    </row>
    <row r="25" spans="1:10" x14ac:dyDescent="0.2">
      <c r="A25" s="2" t="s">
        <v>107</v>
      </c>
      <c r="B25" s="2"/>
      <c r="C25" s="18">
        <f>COUNTA(D5:D22)</f>
        <v>18</v>
      </c>
    </row>
    <row r="26" spans="1:10" x14ac:dyDescent="0.2">
      <c r="A26" s="2" t="s">
        <v>108</v>
      </c>
      <c r="B26" s="2"/>
      <c r="C26" s="18">
        <f>COUNTIF(B5:B22,"&lt;&gt;(chưa có)")</f>
        <v>18</v>
      </c>
    </row>
    <row r="27" spans="1:10" x14ac:dyDescent="0.2">
      <c r="A27" s="2" t="s">
        <v>109</v>
      </c>
      <c r="B27" s="2"/>
      <c r="C27" s="18">
        <f>COUNTIF(B5:B22,"(chưa có)")</f>
        <v>0</v>
      </c>
    </row>
    <row r="28" spans="1:10" x14ac:dyDescent="0.2">
      <c r="A28" s="2" t="s">
        <v>18</v>
      </c>
      <c r="B28" s="2"/>
      <c r="C28" s="18">
        <f>COUNTIF(H5:H22,"Miền Bắc")</f>
        <v>7</v>
      </c>
    </row>
    <row r="29" spans="1:10" x14ac:dyDescent="0.2">
      <c r="A29" s="2" t="s">
        <v>54</v>
      </c>
      <c r="B29" s="2"/>
      <c r="C29" s="18">
        <f>COUNTIF(H5:H22,"Miền Trung")</f>
        <v>5</v>
      </c>
    </row>
    <row r="30" spans="1:10" x14ac:dyDescent="0.2">
      <c r="A30" s="2" t="s">
        <v>74</v>
      </c>
      <c r="B30" s="2"/>
      <c r="C30" s="18">
        <f>COUNTIF(H5:H22,"Miền Nam")</f>
        <v>6</v>
      </c>
    </row>
    <row r="32" spans="1:10" x14ac:dyDescent="0.2">
      <c r="A32" s="1" t="s">
        <v>110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3" t="s">
        <v>111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112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">
      <c r="A35" s="3" t="s">
        <v>113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2">
      <c r="A36" s="3" t="s">
        <v>114</v>
      </c>
      <c r="B36" s="3"/>
      <c r="C36" s="3"/>
      <c r="D36" s="3"/>
      <c r="E36" s="3"/>
      <c r="F36" s="3"/>
      <c r="G36" s="3"/>
      <c r="H36" s="3"/>
      <c r="I36" s="3"/>
      <c r="J36" s="3"/>
    </row>
    <row r="37" spans="1:10" x14ac:dyDescent="0.2">
      <c r="A37" s="3" t="s">
        <v>115</v>
      </c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2">
      <c r="A38" s="3" t="s">
        <v>116</v>
      </c>
      <c r="B38" s="3"/>
      <c r="C38" s="3"/>
      <c r="D38" s="3"/>
      <c r="E38" s="3"/>
      <c r="F38" s="3"/>
      <c r="G38" s="3"/>
      <c r="H38" s="3"/>
      <c r="I38" s="3"/>
      <c r="J38" s="3"/>
    </row>
  </sheetData>
  <autoFilter ref="A4:J22" xr:uid="{00000000-0009-0000-0000-000000000000}"/>
  <mergeCells count="15">
    <mergeCell ref="A34:J34"/>
    <mergeCell ref="A35:J35"/>
    <mergeCell ref="A36:J36"/>
    <mergeCell ref="A37:J37"/>
    <mergeCell ref="A38:J38"/>
    <mergeCell ref="A28:B28"/>
    <mergeCell ref="A29:B29"/>
    <mergeCell ref="A30:B30"/>
    <mergeCell ref="A32:J32"/>
    <mergeCell ref="A33:J33"/>
    <mergeCell ref="A1:J1"/>
    <mergeCell ref="A2:J2"/>
    <mergeCell ref="A25:B25"/>
    <mergeCell ref="A26:B26"/>
    <mergeCell ref="A27:B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52" customWidth="1"/>
    <col min="3" max="3" width="66" customWidth="1"/>
  </cols>
  <sheetData>
    <row r="1" spans="1:3" x14ac:dyDescent="0.2">
      <c r="A1" s="5" t="s">
        <v>117</v>
      </c>
      <c r="B1" s="5" t="s">
        <v>118</v>
      </c>
      <c r="C1" s="5" t="s">
        <v>119</v>
      </c>
    </row>
    <row r="2" spans="1:3" ht="45.75" customHeight="1" x14ac:dyDescent="0.2">
      <c r="A2" s="19" t="s">
        <v>19</v>
      </c>
      <c r="B2" s="19" t="s">
        <v>120</v>
      </c>
      <c r="C2" s="19" t="s">
        <v>121</v>
      </c>
    </row>
    <row r="3" spans="1:3" ht="45.75" customHeight="1" x14ac:dyDescent="0.2">
      <c r="A3" s="19" t="s">
        <v>69</v>
      </c>
      <c r="B3" s="19" t="s">
        <v>122</v>
      </c>
      <c r="C3" s="19" t="s">
        <v>123</v>
      </c>
    </row>
    <row r="4" spans="1:3" ht="45.75" customHeight="1" x14ac:dyDescent="0.2">
      <c r="A4" s="19" t="s">
        <v>64</v>
      </c>
      <c r="B4" s="19" t="s">
        <v>124</v>
      </c>
      <c r="C4" s="19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điểm trường</vt:lpstr>
      <vt:lpstr>Nguồn - Bảng mã theo QĐ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Viet Nguyen Ba</cp:lastModifiedBy>
  <cp:revision>0</cp:revision>
  <dcterms:created xsi:type="dcterms:W3CDTF">2026-08-22T06:18:44Z</dcterms:created>
  <dcterms:modified xsi:type="dcterms:W3CDTF">2026-08-22T06:35:06Z</dcterms:modified>
  <dc:language>en-US</dc:language>
</cp:coreProperties>
</file>